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nchise_IQ\downloads\"/>
    </mc:Choice>
  </mc:AlternateContent>
  <bookViews>
    <workbookView xWindow="0" yWindow="0" windowWidth="19200" windowHeight="7550"/>
  </bookViews>
  <sheets>
    <sheet name="Sheet1" sheetId="1" r:id="rId1"/>
  </sheets>
  <definedNames>
    <definedName name="_xlnm._FilterDatabase" localSheetId="0" hidden="1">Sheet1!$A$1:$K$78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3" i="1"/>
  <c r="L58" i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57" i="1"/>
</calcChain>
</file>

<file path=xl/sharedStrings.xml><?xml version="1.0" encoding="utf-8"?>
<sst xmlns="http://schemas.openxmlformats.org/spreadsheetml/2006/main" count="397" uniqueCount="305">
  <si>
    <t>Address line 1</t>
  </si>
  <si>
    <t>Locality</t>
  </si>
  <si>
    <t>Postal code</t>
  </si>
  <si>
    <t>Primary phone</t>
  </si>
  <si>
    <t xml:space="preserve">Latitude </t>
  </si>
  <si>
    <t>Longitude</t>
  </si>
  <si>
    <t>Store ID</t>
  </si>
  <si>
    <t>Store name</t>
  </si>
  <si>
    <t>KANDANA</t>
  </si>
  <si>
    <t>THIHARIYA</t>
  </si>
  <si>
    <t>NUGEGODA</t>
  </si>
  <si>
    <t>ALEXANDRA PLACE</t>
  </si>
  <si>
    <t>ALUTHKADE</t>
  </si>
  <si>
    <t>ATHTHIDIYA</t>
  </si>
  <si>
    <t>BAMBALAPITIYA</t>
  </si>
  <si>
    <t>BATTARAMULLA</t>
  </si>
  <si>
    <t>BLOEMENDHAL</t>
  </si>
  <si>
    <t>BOKUNDARA</t>
  </si>
  <si>
    <t>BORELLA</t>
  </si>
  <si>
    <t>CASTLE STREET</t>
  </si>
  <si>
    <t>CHATHAM STREET</t>
  </si>
  <si>
    <t>DALUGAMA</t>
  </si>
  <si>
    <t>DEANS ROAD</t>
  </si>
  <si>
    <t>DEHIWALA</t>
  </si>
  <si>
    <t>DRD MAHARAGAMA</t>
  </si>
  <si>
    <t>ENDERAMULLA</t>
  </si>
  <si>
    <t>FACTORY</t>
  </si>
  <si>
    <t>GAMPAHA</t>
  </si>
  <si>
    <t>GOTHATUWA</t>
  </si>
  <si>
    <t>GRANDPASS</t>
  </si>
  <si>
    <t>HENAMULLA</t>
  </si>
  <si>
    <t>HENDALA</t>
  </si>
  <si>
    <t>HILL STREET</t>
  </si>
  <si>
    <t>JA ELA</t>
  </si>
  <si>
    <t>JUDE PLACE</t>
  </si>
  <si>
    <t>KADAWATHA</t>
  </si>
  <si>
    <t>KALUBOWILA</t>
  </si>
  <si>
    <t>KANDY ROAD</t>
  </si>
  <si>
    <t>KATUNAYAKE</t>
  </si>
  <si>
    <t>KATUWAPITIYA</t>
  </si>
  <si>
    <t>KELANIYA</t>
  </si>
  <si>
    <t>KIRIBATHGODA</t>
  </si>
  <si>
    <t>KIRULAPANA</t>
  </si>
  <si>
    <t>KOLONNAWA NEW</t>
  </si>
  <si>
    <t>KOTAHENA</t>
  </si>
  <si>
    <t>KOTIKAWATHTHA</t>
  </si>
  <si>
    <t>KOTTAWA</t>
  </si>
  <si>
    <t>MADAPATHA</t>
  </si>
  <si>
    <t>MADIWELA</t>
  </si>
  <si>
    <t>MAHABAGE</t>
  </si>
  <si>
    <t>MAHARAGAMA</t>
  </si>
  <si>
    <t>MAKOLA</t>
  </si>
  <si>
    <t>MALABE</t>
  </si>
  <si>
    <t>MALIGAKANDA</t>
  </si>
  <si>
    <t>MALIGAWATHA</t>
  </si>
  <si>
    <t>MARADANA</t>
  </si>
  <si>
    <t>MATTAKKULIYA</t>
  </si>
  <si>
    <t>MODARA</t>
  </si>
  <si>
    <t>MORATUWA</t>
  </si>
  <si>
    <t>MOUNT LAVINIA</t>
  </si>
  <si>
    <t>NARAHENPITA</t>
  </si>
  <si>
    <t>NAWALA</t>
  </si>
  <si>
    <t>NEGOMBO</t>
  </si>
  <si>
    <t>NITTAMBUWA</t>
  </si>
  <si>
    <t>PAMANKADA</t>
  </si>
  <si>
    <t>PANADURA</t>
  </si>
  <si>
    <t>PERIYAMULLA</t>
  </si>
  <si>
    <t>PETTAH</t>
  </si>
  <si>
    <t>PILIYANDALA</t>
  </si>
  <si>
    <t>RADDOLUGAMA</t>
  </si>
  <si>
    <t>RAGAMA</t>
  </si>
  <si>
    <t>RAJAGIRIYA</t>
  </si>
  <si>
    <t>RATMALANA</t>
  </si>
  <si>
    <t>SLAVE ISLAND</t>
  </si>
  <si>
    <t>THALAHENA</t>
  </si>
  <si>
    <t>WATTALA</t>
  </si>
  <si>
    <t>WELLAMPITIYA</t>
  </si>
  <si>
    <t>WELLAWATTA</t>
  </si>
  <si>
    <t>YAKKALA</t>
  </si>
  <si>
    <t>NA</t>
  </si>
  <si>
    <t>Sales</t>
  </si>
  <si>
    <t>Returns</t>
  </si>
  <si>
    <t>Region</t>
  </si>
  <si>
    <t>119A, High level road</t>
  </si>
  <si>
    <t>Maharagama</t>
  </si>
  <si>
    <t>070 147 5354</t>
  </si>
  <si>
    <t>Southern Zone</t>
  </si>
  <si>
    <t>No 17/2,Holy cross road</t>
  </si>
  <si>
    <t>Gampaha</t>
  </si>
  <si>
    <t>070 107 1744</t>
  </si>
  <si>
    <t>Northern Zone</t>
  </si>
  <si>
    <t>100 Kandy Road</t>
  </si>
  <si>
    <t>Kadawatha</t>
  </si>
  <si>
    <t>070 609 6382</t>
  </si>
  <si>
    <t>204 Colombo - Galle Main Road</t>
  </si>
  <si>
    <t>Colombo 4</t>
  </si>
  <si>
    <t>071 535 6577</t>
  </si>
  <si>
    <t>Colombo City</t>
  </si>
  <si>
    <t>1121 Maradana Road</t>
  </si>
  <si>
    <t>Colombo 08</t>
  </si>
  <si>
    <t>071 535 6581</t>
  </si>
  <si>
    <t>5, New Galle Road, Kurasa Handiya</t>
  </si>
  <si>
    <t>Moratuwa</t>
  </si>
  <si>
    <t>070 558 9405</t>
  </si>
  <si>
    <t>437E, Galle road</t>
  </si>
  <si>
    <t>Panadura</t>
  </si>
  <si>
    <t>070 698 1292</t>
  </si>
  <si>
    <t>No. 111,Chatham Street</t>
  </si>
  <si>
    <t>Colombo 01</t>
  </si>
  <si>
    <t>070 522 4211</t>
  </si>
  <si>
    <t>238, Negombo road</t>
  </si>
  <si>
    <t>Wattala</t>
  </si>
  <si>
    <t>070 283 7239</t>
  </si>
  <si>
    <t>14B Kaduwela Road Koswatta,</t>
  </si>
  <si>
    <t>Thalahena</t>
  </si>
  <si>
    <t>071 708 1608</t>
  </si>
  <si>
    <t>Eastern Zone</t>
  </si>
  <si>
    <t>No. 314 Ven Baddegama Wimalawansa Mawatha</t>
  </si>
  <si>
    <t>Colombo 15</t>
  </si>
  <si>
    <t>071 126 6730</t>
  </si>
  <si>
    <t>221, Kirula Road, Narahenpita</t>
  </si>
  <si>
    <t>Colombo 05</t>
  </si>
  <si>
    <t>071 535 6576</t>
  </si>
  <si>
    <t>NO. 192/B/3, HORANA ROAD, KOTTAWA</t>
  </si>
  <si>
    <t>Kottawa</t>
  </si>
  <si>
    <t>070 276 9064</t>
  </si>
  <si>
    <t>NO.163/B/1, MAKOLA SOUTH, MAKOLA</t>
  </si>
  <si>
    <t>Makola</t>
  </si>
  <si>
    <t>070 448 4122</t>
  </si>
  <si>
    <t>No1, 4th Lane Archbishop Nicholas Marcus Fernando Mawatha</t>
  </si>
  <si>
    <t>Negombo</t>
  </si>
  <si>
    <t>071 535 6558</t>
  </si>
  <si>
    <t>NO. 172/2/6, NEW KANDY ROAD, WELIWITA, MALABE.</t>
  </si>
  <si>
    <t>Malabe</t>
  </si>
  <si>
    <t>070 557 0117</t>
  </si>
  <si>
    <t>No. 26, 28, Sri Saddarma Mawatha,</t>
  </si>
  <si>
    <t>Colombo 10</t>
  </si>
  <si>
    <t>071 535 6586</t>
  </si>
  <si>
    <t>34 Thewatta Road</t>
  </si>
  <si>
    <t>Ragama</t>
  </si>
  <si>
    <t>070 648 5734</t>
  </si>
  <si>
    <t>No 31,Old Negombo Road,Kanuwana</t>
  </si>
  <si>
    <t>Ja Ela</t>
  </si>
  <si>
    <t>070 459 3055</t>
  </si>
  <si>
    <t>40Metro Homes</t>
  </si>
  <si>
    <t>Slave Island</t>
  </si>
  <si>
    <t>070 693 4534</t>
  </si>
  <si>
    <t>32/A, Colombo Road</t>
  </si>
  <si>
    <t>Kurana, Katunayake</t>
  </si>
  <si>
    <t>071 535 6578</t>
  </si>
  <si>
    <t>No 118,Jampettah Street</t>
  </si>
  <si>
    <t>Colombo 14</t>
  </si>
  <si>
    <t>071 869 8648</t>
  </si>
  <si>
    <t>206B, Kolonnawa Road,</t>
  </si>
  <si>
    <t>Kolonnawa</t>
  </si>
  <si>
    <t>070 598 2722</t>
  </si>
  <si>
    <t>NO 459A, THALAWATHUGODA ROAD, MADIWELA</t>
  </si>
  <si>
    <t>Sri Jayawardenepura Kotte</t>
  </si>
  <si>
    <t>070 103 5365</t>
  </si>
  <si>
    <t>79A Vihara Mawatha, Peliyagoda</t>
  </si>
  <si>
    <t>Kelaniya</t>
  </si>
  <si>
    <t>071 711 4306</t>
  </si>
  <si>
    <t>NO.42, S. DE S. JAYASINGHE MAWATHA</t>
  </si>
  <si>
    <t>Nugegoda</t>
  </si>
  <si>
    <t>070 204 3121</t>
  </si>
  <si>
    <t>NO 32/1, COLOMBO ROAD, KATUWAWALA, BORALASGAMUWA.</t>
  </si>
  <si>
    <t>Katuwala</t>
  </si>
  <si>
    <t>070 715 0777</t>
  </si>
  <si>
    <t>No. 606, Negombo Road</t>
  </si>
  <si>
    <t>Mahabage</t>
  </si>
  <si>
    <t>070 692 6361</t>
  </si>
  <si>
    <t>NO 491/1, KANDY ROAD, NITTAMBUWA.</t>
  </si>
  <si>
    <t>NITTABUWA</t>
  </si>
  <si>
    <t>071 598 1573</t>
  </si>
  <si>
    <t>No 377 C Avissawella Road</t>
  </si>
  <si>
    <t>Wellampitiya</t>
  </si>
  <si>
    <t>070 631 5029</t>
  </si>
  <si>
    <t>No.275Kuda Buthgamuwa Road</t>
  </si>
  <si>
    <t>Kotikawatta</t>
  </si>
  <si>
    <t>070 357 0348</t>
  </si>
  <si>
    <t>59A. C.W.W.Kannangara Mawatha</t>
  </si>
  <si>
    <t>Alexandra Place, Colombo 7</t>
  </si>
  <si>
    <t>071 535 6583</t>
  </si>
  <si>
    <t>266 A266 A Nawala Rd,</t>
  </si>
  <si>
    <t>071 870 1688</t>
  </si>
  <si>
    <t>NO 2, DEHIWALA ROAD, MAHARAGAMA.</t>
  </si>
  <si>
    <t>MAHARAGAMA DEHIWALA ROAD</t>
  </si>
  <si>
    <t>070 266 9642</t>
  </si>
  <si>
    <t>181/A, Rajaguru Sri Subuthi Rd</t>
  </si>
  <si>
    <t>Colombo 06</t>
  </si>
  <si>
    <t>070 676 9965</t>
  </si>
  <si>
    <t>49A, St. Joseph Street Grandpass road,</t>
  </si>
  <si>
    <t>071 283 0271</t>
  </si>
  <si>
    <t>No.66 Adnives Road Periyamulla</t>
  </si>
  <si>
    <t>070 625 3498</t>
  </si>
  <si>
    <t>No. 54, Buthgamua road</t>
  </si>
  <si>
    <t>Gothatuwa</t>
  </si>
  <si>
    <t>070 692 1737</t>
  </si>
  <si>
    <t>104 HIGHLEVEL ROAD</t>
  </si>
  <si>
    <t>KIRULAPONE</t>
  </si>
  <si>
    <t>070 611 6279</t>
  </si>
  <si>
    <t>222, HILL STREET, DEHIWALA</t>
  </si>
  <si>
    <t>Dehiwala</t>
  </si>
  <si>
    <t>070 329 8446</t>
  </si>
  <si>
    <t>KALUTARA</t>
  </si>
  <si>
    <t>No. 370, Galle Road, Kalutara South</t>
  </si>
  <si>
    <t>Kalutara</t>
  </si>
  <si>
    <t>071 125 1670</t>
  </si>
  <si>
    <t>No 23 Sri Dhamma Mawatha</t>
  </si>
  <si>
    <t>071 535 6567</t>
  </si>
  <si>
    <t>No 175/18, Main Street,, Battaramulla</t>
  </si>
  <si>
    <t>Battalamulla</t>
  </si>
  <si>
    <t>070 562 6630</t>
  </si>
  <si>
    <t>NO. 92 &amp; 94, GUNASINGHEPURA, KESELWATTE</t>
  </si>
  <si>
    <t>Keselwatte</t>
  </si>
  <si>
    <t>070 519 4061</t>
  </si>
  <si>
    <t>No. 83B, Main Street, Obeysekarapura</t>
  </si>
  <si>
    <t>Rajagiriya</t>
  </si>
  <si>
    <t>071 868 4224</t>
  </si>
  <si>
    <t>3 Katuwapitiya Road</t>
  </si>
  <si>
    <t>070 382 6495</t>
  </si>
  <si>
    <t>401, Galle Road</t>
  </si>
  <si>
    <t>Mount Lavinia</t>
  </si>
  <si>
    <t>070 675 4356</t>
  </si>
  <si>
    <t>686, Bloemendhal Road</t>
  </si>
  <si>
    <t>Modara, Colombo 15</t>
  </si>
  <si>
    <t>071 223 1362</t>
  </si>
  <si>
    <t>NO 106 STATION ROAD</t>
  </si>
  <si>
    <t>070 697 8448</t>
  </si>
  <si>
    <t>NO. 6, RADAWANA ROAD, YAKKALA</t>
  </si>
  <si>
    <t>Yakkala</t>
  </si>
  <si>
    <t>070 404 0221</t>
  </si>
  <si>
    <t>80/A Vystwyke Road</t>
  </si>
  <si>
    <t>Mattakkuliya</t>
  </si>
  <si>
    <t>071 868 4227</t>
  </si>
  <si>
    <t>221 Castle Street</t>
  </si>
  <si>
    <t>071 869 8649</t>
  </si>
  <si>
    <t>No. 46, Kandy Road, Dalugama</t>
  </si>
  <si>
    <t>070 598 2719</t>
  </si>
  <si>
    <t>171 Stanley Thilakarathna Mawatha, Nugegoda</t>
  </si>
  <si>
    <t>071 535 6582</t>
  </si>
  <si>
    <t>No 189, Main Road, Aththidiya, Dehiwala</t>
  </si>
  <si>
    <t>071 862 2672</t>
  </si>
  <si>
    <t>65/A, National Housing Scheme</t>
  </si>
  <si>
    <t>Raddolugama</t>
  </si>
  <si>
    <t>070 158 7828</t>
  </si>
  <si>
    <t>NO 126 E, KANDY ROAD, THIHARIYA.</t>
  </si>
  <si>
    <t>071 598 1548</t>
  </si>
  <si>
    <t>No. 320 A, Hendala</t>
  </si>
  <si>
    <t>071 869 8650</t>
  </si>
  <si>
    <t>2/3/M, National Housing Scheme</t>
  </si>
  <si>
    <t>Kiribathgoda</t>
  </si>
  <si>
    <t>070 691 5924</t>
  </si>
  <si>
    <t>188 W.A. Silva Mawatha,</t>
  </si>
  <si>
    <t>Colombo 6</t>
  </si>
  <si>
    <t>070 692 6363</t>
  </si>
  <si>
    <t>No. 218, Aluthmawatha Road,</t>
  </si>
  <si>
    <t>070 598 2707</t>
  </si>
  <si>
    <t>NO 310/01/01/A, DALUPITIYA ROAD, ENDERAMULLA, WATTALA.</t>
  </si>
  <si>
    <t>Enderamulla</t>
  </si>
  <si>
    <t>070 557 0118</t>
  </si>
  <si>
    <t>24, Ven Hikkaduwe Sri Sumangala Nahimi Mawatha,</t>
  </si>
  <si>
    <t>Maligakanda road, Colombo 10</t>
  </si>
  <si>
    <t>070 268 3204</t>
  </si>
  <si>
    <t>272 Kandy Rd, Kelaniya</t>
  </si>
  <si>
    <t>Jude Place</t>
  </si>
  <si>
    <t>070 436 8930</t>
  </si>
  <si>
    <t>NO 35A, KANDY ROAD, KIRIBATHGODA</t>
  </si>
  <si>
    <t>070 519 4062</t>
  </si>
  <si>
    <t>NO 245, GALLE ROAD, RATMALANA.</t>
  </si>
  <si>
    <t>RATHMALANA</t>
  </si>
  <si>
    <t>071 598 1571</t>
  </si>
  <si>
    <t>No. 08, Station Road,</t>
  </si>
  <si>
    <t>071 535 6552</t>
  </si>
  <si>
    <t>91/1/A, Madapatha road,</t>
  </si>
  <si>
    <t>Kolamunna, Piliynadala</t>
  </si>
  <si>
    <t>070 696 3571</t>
  </si>
  <si>
    <t>ARD MALABE</t>
  </si>
  <si>
    <t>No 55, Athurugiriya Road, Malabe</t>
  </si>
  <si>
    <t>071 158 9396</t>
  </si>
  <si>
    <t>HORANA ROAD PANADURA</t>
  </si>
  <si>
    <t>No 151/B, Horana Road, Panadura</t>
  </si>
  <si>
    <t>071 125 1674</t>
  </si>
  <si>
    <t>48, Abdul Hameed Mawatha</t>
  </si>
  <si>
    <t>Colombo 12</t>
  </si>
  <si>
    <t>070 598 2711</t>
  </si>
  <si>
    <t>ATHURUGIRIYA</t>
  </si>
  <si>
    <t>No 178/A, Borella Road, Athurugiriya</t>
  </si>
  <si>
    <t>Athurugiriya</t>
  </si>
  <si>
    <t>071 149 1784</t>
  </si>
  <si>
    <t>85/2, Moratuwa Road</t>
  </si>
  <si>
    <t>Piliyandala</t>
  </si>
  <si>
    <t>070 695 6256</t>
  </si>
  <si>
    <t>MAKUMBURA</t>
  </si>
  <si>
    <t>No 321/1, High Level Road, Makumbura</t>
  </si>
  <si>
    <t>Makumbura</t>
  </si>
  <si>
    <t>071 149 1785</t>
  </si>
  <si>
    <t>105D, Old Galle road, Henamulla</t>
  </si>
  <si>
    <t>070 698 1291</t>
  </si>
  <si>
    <t>PEPILIYANA</t>
  </si>
  <si>
    <t>Pepiliyana Road Junction, Pepiliyana</t>
  </si>
  <si>
    <t>Pepiliyana</t>
  </si>
  <si>
    <t>011 293 7008</t>
  </si>
  <si>
    <t>From Date</t>
  </si>
  <si>
    <t>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</si>
</sst>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1" xfId="0" applyBorder="1" applyAlignment="1">
      <alignment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workbookViewId="0">
      <selection activeCell="O8" sqref="O8"/>
    </sheetView>
  </sheetViews>
  <sheetFormatPr defaultRowHeight="14.5" x14ac:dyDescent="0.35"/>
  <cols>
    <col min="2" max="2" width="19.1796875" customWidth="1"/>
    <col min="3" max="3" width="56.453125" customWidth="1"/>
    <col min="4" max="4" width="17.54296875" customWidth="1"/>
    <col min="7" max="7" width="13.7265625" customWidth="1"/>
    <col min="9" max="9" width="11.81640625" bestFit="1" customWidth="1"/>
    <col min="12" max="13" width="10.08984375" bestFit="1" customWidth="1"/>
  </cols>
  <sheetData>
    <row r="1" spans="1:13" x14ac:dyDescent="0.35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80</v>
      </c>
      <c r="J1" t="s">
        <v>81</v>
      </c>
      <c r="K1" t="s">
        <v>82</v>
      </c>
      <c r="L1" t="s">
        <v>303</v>
      </c>
      <c r="M1" t="s">
        <v>304</v>
      </c>
    </row>
    <row r="2" spans="1:13" x14ac:dyDescent="0.35">
      <c r="A2">
        <v>2120</v>
      </c>
      <c r="B2" s="2" t="s">
        <v>50</v>
      </c>
      <c r="C2" t="s">
        <v>83</v>
      </c>
      <c r="D2" t="s">
        <v>84</v>
      </c>
      <c r="E2">
        <v>10280</v>
      </c>
      <c r="F2" t="s">
        <v>85</v>
      </c>
      <c r="G2">
        <v>6.8455221000000002</v>
      </c>
      <c r="H2">
        <v>79.929489000000004</v>
      </c>
      <c r="I2">
        <v>418465212</v>
      </c>
      <c r="J2" s="1">
        <v>259876</v>
      </c>
      <c r="K2" t="s">
        <v>86</v>
      </c>
      <c r="L2" s="3">
        <v>45901</v>
      </c>
      <c r="M2" s="3">
        <v>46292</v>
      </c>
    </row>
    <row r="3" spans="1:13" x14ac:dyDescent="0.35">
      <c r="A3">
        <v>2121</v>
      </c>
      <c r="B3" s="2" t="s">
        <v>27</v>
      </c>
      <c r="C3" t="s">
        <v>87</v>
      </c>
      <c r="D3" t="s">
        <v>88</v>
      </c>
      <c r="E3">
        <v>11000</v>
      </c>
      <c r="F3" t="s">
        <v>89</v>
      </c>
      <c r="G3">
        <v>7.0937279000000002</v>
      </c>
      <c r="H3">
        <v>79.995114599999994</v>
      </c>
      <c r="I3">
        <v>351646392</v>
      </c>
      <c r="J3" s="1">
        <v>410872</v>
      </c>
      <c r="K3" t="s">
        <v>90</v>
      </c>
      <c r="L3" s="3">
        <v>45901</v>
      </c>
      <c r="M3" s="3">
        <f>$M$2</f>
        <v>46292</v>
      </c>
    </row>
    <row r="4" spans="1:13" x14ac:dyDescent="0.35">
      <c r="A4">
        <v>2103</v>
      </c>
      <c r="B4" s="2" t="s">
        <v>35</v>
      </c>
      <c r="C4" t="s">
        <v>91</v>
      </c>
      <c r="D4" t="s">
        <v>92</v>
      </c>
      <c r="E4">
        <v>11850</v>
      </c>
      <c r="F4" t="s">
        <v>93</v>
      </c>
      <c r="G4">
        <v>7.0029526000000004</v>
      </c>
      <c r="H4">
        <v>79.953899399999997</v>
      </c>
      <c r="I4">
        <v>321955927</v>
      </c>
      <c r="J4" s="1">
        <v>315939</v>
      </c>
      <c r="K4" t="s">
        <v>90</v>
      </c>
      <c r="L4" s="3">
        <v>45901</v>
      </c>
      <c r="M4" s="3">
        <f t="shared" ref="M4:M67" si="0">$M$2</f>
        <v>46292</v>
      </c>
    </row>
    <row r="5" spans="1:13" x14ac:dyDescent="0.35">
      <c r="A5">
        <v>2065</v>
      </c>
      <c r="B5" s="2" t="s">
        <v>14</v>
      </c>
      <c r="C5" t="s">
        <v>94</v>
      </c>
      <c r="D5" t="s">
        <v>95</v>
      </c>
      <c r="E5">
        <v>400</v>
      </c>
      <c r="F5" t="s">
        <v>96</v>
      </c>
      <c r="G5">
        <v>6.8875991000000001</v>
      </c>
      <c r="H5">
        <v>79.857254999999995</v>
      </c>
      <c r="I5">
        <v>294303842</v>
      </c>
      <c r="J5" s="1">
        <v>496201</v>
      </c>
      <c r="K5" t="s">
        <v>97</v>
      </c>
      <c r="L5" s="3">
        <v>45901</v>
      </c>
      <c r="M5" s="3">
        <f t="shared" si="0"/>
        <v>46292</v>
      </c>
    </row>
    <row r="6" spans="1:13" x14ac:dyDescent="0.35">
      <c r="A6">
        <v>2058</v>
      </c>
      <c r="B6" s="2" t="s">
        <v>18</v>
      </c>
      <c r="C6" t="s">
        <v>98</v>
      </c>
      <c r="D6" t="s">
        <v>99</v>
      </c>
      <c r="E6">
        <v>800</v>
      </c>
      <c r="F6" t="s">
        <v>100</v>
      </c>
      <c r="G6">
        <v>6.9164840999999999</v>
      </c>
      <c r="H6">
        <v>79.876072100000002</v>
      </c>
      <c r="I6">
        <v>288792286</v>
      </c>
      <c r="J6" s="1">
        <v>554359</v>
      </c>
      <c r="K6" t="s">
        <v>97</v>
      </c>
      <c r="L6" s="3">
        <v>45901</v>
      </c>
      <c r="M6" s="3">
        <f t="shared" si="0"/>
        <v>46292</v>
      </c>
    </row>
    <row r="7" spans="1:13" x14ac:dyDescent="0.35">
      <c r="A7">
        <v>2119</v>
      </c>
      <c r="B7" s="2" t="s">
        <v>58</v>
      </c>
      <c r="C7" t="s">
        <v>101</v>
      </c>
      <c r="D7" t="s">
        <v>102</v>
      </c>
      <c r="E7">
        <v>10400</v>
      </c>
      <c r="F7" t="s">
        <v>103</v>
      </c>
      <c r="G7">
        <v>6.7792691999999999</v>
      </c>
      <c r="H7">
        <v>79.883001300000004</v>
      </c>
      <c r="I7">
        <v>288530831</v>
      </c>
      <c r="J7" s="1">
        <v>657346</v>
      </c>
      <c r="K7" t="s">
        <v>86</v>
      </c>
      <c r="L7" s="3">
        <v>45901</v>
      </c>
      <c r="M7" s="3">
        <f t="shared" si="0"/>
        <v>46292</v>
      </c>
    </row>
    <row r="8" spans="1:13" x14ac:dyDescent="0.35">
      <c r="A8">
        <v>2106</v>
      </c>
      <c r="B8" s="2" t="s">
        <v>65</v>
      </c>
      <c r="C8" t="s">
        <v>104</v>
      </c>
      <c r="D8" t="s">
        <v>105</v>
      </c>
      <c r="E8">
        <v>12500</v>
      </c>
      <c r="F8" t="s">
        <v>106</v>
      </c>
      <c r="G8">
        <v>6.7111343999999997</v>
      </c>
      <c r="H8">
        <v>79.907614100000004</v>
      </c>
      <c r="I8">
        <v>288096142</v>
      </c>
      <c r="J8" s="1">
        <v>187053</v>
      </c>
      <c r="K8" t="s">
        <v>86</v>
      </c>
      <c r="L8" s="3">
        <v>45901</v>
      </c>
      <c r="M8" s="3">
        <f t="shared" si="0"/>
        <v>46292</v>
      </c>
    </row>
    <row r="9" spans="1:13" x14ac:dyDescent="0.35">
      <c r="A9">
        <v>2116</v>
      </c>
      <c r="B9" s="2" t="s">
        <v>20</v>
      </c>
      <c r="C9" t="s">
        <v>107</v>
      </c>
      <c r="D9" t="s">
        <v>108</v>
      </c>
      <c r="E9">
        <v>100</v>
      </c>
      <c r="F9" t="s">
        <v>109</v>
      </c>
      <c r="G9">
        <v>6.9344910999999998</v>
      </c>
      <c r="H9">
        <v>79.844426100000007</v>
      </c>
      <c r="I9">
        <v>274726976</v>
      </c>
      <c r="J9" s="1">
        <v>173062</v>
      </c>
      <c r="K9" t="s">
        <v>97</v>
      </c>
      <c r="L9" s="3">
        <v>45901</v>
      </c>
      <c r="M9" s="3">
        <f t="shared" si="0"/>
        <v>46292</v>
      </c>
    </row>
    <row r="10" spans="1:13" x14ac:dyDescent="0.35">
      <c r="A10">
        <v>2124</v>
      </c>
      <c r="B10" s="2" t="s">
        <v>75</v>
      </c>
      <c r="C10" t="s">
        <v>110</v>
      </c>
      <c r="D10" t="s">
        <v>111</v>
      </c>
      <c r="E10">
        <v>11300</v>
      </c>
      <c r="F10" t="s">
        <v>112</v>
      </c>
      <c r="G10">
        <v>6.9817419000000003</v>
      </c>
      <c r="H10">
        <v>79.888153900000006</v>
      </c>
      <c r="I10">
        <v>269940942</v>
      </c>
      <c r="J10" s="1">
        <v>492825</v>
      </c>
      <c r="K10" t="s">
        <v>90</v>
      </c>
      <c r="L10" s="3">
        <v>45901</v>
      </c>
      <c r="M10" s="3">
        <f t="shared" si="0"/>
        <v>46292</v>
      </c>
    </row>
    <row r="11" spans="1:13" x14ac:dyDescent="0.35">
      <c r="A11">
        <v>2126</v>
      </c>
      <c r="B11" s="2" t="s">
        <v>74</v>
      </c>
      <c r="C11" t="s">
        <v>113</v>
      </c>
      <c r="D11" t="s">
        <v>114</v>
      </c>
      <c r="E11">
        <v>10115</v>
      </c>
      <c r="F11" t="s">
        <v>115</v>
      </c>
      <c r="G11">
        <v>6.9078727000000004</v>
      </c>
      <c r="H11">
        <v>79.935773499999996</v>
      </c>
      <c r="I11">
        <v>269641554</v>
      </c>
      <c r="J11" s="1">
        <v>394168</v>
      </c>
      <c r="K11" t="s">
        <v>116</v>
      </c>
      <c r="L11" s="3">
        <v>45901</v>
      </c>
      <c r="M11" s="3">
        <f t="shared" si="0"/>
        <v>46292</v>
      </c>
    </row>
    <row r="12" spans="1:13" x14ac:dyDescent="0.35">
      <c r="A12">
        <v>2071</v>
      </c>
      <c r="B12" s="2" t="s">
        <v>22</v>
      </c>
      <c r="C12" t="s">
        <v>117</v>
      </c>
      <c r="D12" t="s">
        <v>118</v>
      </c>
      <c r="E12">
        <v>1500</v>
      </c>
      <c r="F12" t="s">
        <v>119</v>
      </c>
      <c r="G12">
        <v>6.9217535999999997</v>
      </c>
      <c r="H12">
        <v>79.864138299999993</v>
      </c>
      <c r="I12">
        <v>265032879</v>
      </c>
      <c r="J12" s="1">
        <v>522061</v>
      </c>
      <c r="K12" t="s">
        <v>97</v>
      </c>
      <c r="L12" s="3">
        <v>45901</v>
      </c>
      <c r="M12" s="3">
        <f t="shared" si="0"/>
        <v>46292</v>
      </c>
    </row>
    <row r="13" spans="1:13" x14ac:dyDescent="0.35">
      <c r="A13">
        <v>2063</v>
      </c>
      <c r="B13" s="2" t="s">
        <v>60</v>
      </c>
      <c r="C13" t="s">
        <v>120</v>
      </c>
      <c r="D13" t="s">
        <v>121</v>
      </c>
      <c r="E13">
        <v>500</v>
      </c>
      <c r="F13" t="s">
        <v>122</v>
      </c>
      <c r="G13">
        <v>6.8927728999999998</v>
      </c>
      <c r="H13">
        <v>79.875294400000001</v>
      </c>
      <c r="I13">
        <v>259729985</v>
      </c>
      <c r="J13" s="1">
        <v>170508</v>
      </c>
      <c r="K13" t="s">
        <v>97</v>
      </c>
      <c r="L13" s="3">
        <v>45901</v>
      </c>
      <c r="M13" s="3">
        <f t="shared" si="0"/>
        <v>46292</v>
      </c>
    </row>
    <row r="14" spans="1:13" x14ac:dyDescent="0.35">
      <c r="A14">
        <v>2135</v>
      </c>
      <c r="B14" s="2" t="s">
        <v>46</v>
      </c>
      <c r="C14" t="s">
        <v>123</v>
      </c>
      <c r="D14" t="s">
        <v>124</v>
      </c>
      <c r="E14">
        <v>10230</v>
      </c>
      <c r="F14" t="s">
        <v>125</v>
      </c>
      <c r="G14">
        <v>6.8356757000000004</v>
      </c>
      <c r="H14">
        <v>79.965403300000006</v>
      </c>
      <c r="I14">
        <v>256796591</v>
      </c>
      <c r="J14" s="1">
        <v>279032</v>
      </c>
      <c r="K14" t="s">
        <v>86</v>
      </c>
      <c r="L14" s="3">
        <v>45901</v>
      </c>
      <c r="M14" s="3">
        <f t="shared" si="0"/>
        <v>46292</v>
      </c>
    </row>
    <row r="15" spans="1:13" x14ac:dyDescent="0.35">
      <c r="A15">
        <v>2132</v>
      </c>
      <c r="B15" s="2" t="s">
        <v>51</v>
      </c>
      <c r="C15" t="s">
        <v>126</v>
      </c>
      <c r="D15" t="s">
        <v>127</v>
      </c>
      <c r="E15">
        <v>11640</v>
      </c>
      <c r="F15" t="s">
        <v>128</v>
      </c>
      <c r="G15">
        <v>6.9741152</v>
      </c>
      <c r="H15">
        <v>79.950597000000002</v>
      </c>
      <c r="I15">
        <v>255549565</v>
      </c>
      <c r="J15" s="1">
        <v>357196</v>
      </c>
      <c r="K15" t="s">
        <v>116</v>
      </c>
      <c r="L15" s="3">
        <v>45901</v>
      </c>
      <c r="M15" s="3">
        <f t="shared" si="0"/>
        <v>46292</v>
      </c>
    </row>
    <row r="16" spans="1:13" x14ac:dyDescent="0.35">
      <c r="A16">
        <v>2068</v>
      </c>
      <c r="B16" s="2" t="s">
        <v>62</v>
      </c>
      <c r="C16" t="s">
        <v>129</v>
      </c>
      <c r="D16" t="s">
        <v>130</v>
      </c>
      <c r="E16">
        <v>11500</v>
      </c>
      <c r="F16" t="s">
        <v>131</v>
      </c>
      <c r="G16">
        <v>7.2003575</v>
      </c>
      <c r="H16">
        <v>79.848005299999997</v>
      </c>
      <c r="I16">
        <v>251823167</v>
      </c>
      <c r="J16" s="1">
        <v>299165</v>
      </c>
      <c r="K16" t="s">
        <v>90</v>
      </c>
      <c r="L16" s="3">
        <v>45901</v>
      </c>
      <c r="M16" s="3">
        <f t="shared" si="0"/>
        <v>46292</v>
      </c>
    </row>
    <row r="17" spans="1:13" x14ac:dyDescent="0.35">
      <c r="A17">
        <v>2139</v>
      </c>
      <c r="B17" s="2" t="s">
        <v>52</v>
      </c>
      <c r="C17" t="s">
        <v>132</v>
      </c>
      <c r="D17" t="s">
        <v>133</v>
      </c>
      <c r="E17">
        <v>10116</v>
      </c>
      <c r="F17" t="s">
        <v>134</v>
      </c>
      <c r="G17">
        <v>6.9153082000000001</v>
      </c>
      <c r="H17">
        <v>79.972273099999995</v>
      </c>
      <c r="I17">
        <v>247793418</v>
      </c>
      <c r="J17" s="1">
        <v>405467</v>
      </c>
      <c r="K17" t="s">
        <v>116</v>
      </c>
      <c r="L17" s="3">
        <v>45901</v>
      </c>
      <c r="M17" s="3">
        <f t="shared" si="0"/>
        <v>46292</v>
      </c>
    </row>
    <row r="18" spans="1:13" x14ac:dyDescent="0.35">
      <c r="A18">
        <v>2094</v>
      </c>
      <c r="B18" s="2" t="s">
        <v>54</v>
      </c>
      <c r="C18" t="s">
        <v>135</v>
      </c>
      <c r="D18" t="s">
        <v>136</v>
      </c>
      <c r="E18">
        <v>1000</v>
      </c>
      <c r="F18" t="s">
        <v>137</v>
      </c>
      <c r="G18">
        <v>6.9351640999999997</v>
      </c>
      <c r="H18">
        <v>79.872121800000002</v>
      </c>
      <c r="I18">
        <v>243967272</v>
      </c>
      <c r="J18" s="1">
        <v>341399</v>
      </c>
      <c r="K18" t="s">
        <v>97</v>
      </c>
      <c r="L18" s="3">
        <v>45901</v>
      </c>
      <c r="M18" s="3">
        <f t="shared" si="0"/>
        <v>46292</v>
      </c>
    </row>
    <row r="19" spans="1:13" x14ac:dyDescent="0.35">
      <c r="A19">
        <v>2111</v>
      </c>
      <c r="B19" s="2" t="s">
        <v>70</v>
      </c>
      <c r="C19" t="s">
        <v>138</v>
      </c>
      <c r="D19" t="s">
        <v>139</v>
      </c>
      <c r="E19">
        <v>11010</v>
      </c>
      <c r="F19" t="s">
        <v>140</v>
      </c>
      <c r="G19">
        <v>7.0302160999999996</v>
      </c>
      <c r="H19">
        <v>79.921770300000006</v>
      </c>
      <c r="I19">
        <v>243578708</v>
      </c>
      <c r="J19" s="1">
        <v>371659</v>
      </c>
      <c r="K19" t="s">
        <v>90</v>
      </c>
      <c r="L19" s="3">
        <v>45901</v>
      </c>
      <c r="M19" s="3">
        <f t="shared" si="0"/>
        <v>46292</v>
      </c>
    </row>
    <row r="20" spans="1:13" x14ac:dyDescent="0.35">
      <c r="A20">
        <v>2115</v>
      </c>
      <c r="B20" s="2" t="s">
        <v>33</v>
      </c>
      <c r="C20" t="s">
        <v>141</v>
      </c>
      <c r="D20" t="s">
        <v>142</v>
      </c>
      <c r="E20">
        <v>11350</v>
      </c>
      <c r="F20" t="s">
        <v>143</v>
      </c>
      <c r="G20">
        <v>7.0815678999999996</v>
      </c>
      <c r="H20">
        <v>79.891411599999998</v>
      </c>
      <c r="I20">
        <v>232350194</v>
      </c>
      <c r="J20" s="1">
        <v>332848</v>
      </c>
      <c r="K20" t="s">
        <v>90</v>
      </c>
      <c r="L20" s="3">
        <v>45901</v>
      </c>
      <c r="M20" s="3">
        <f t="shared" si="0"/>
        <v>46292</v>
      </c>
    </row>
    <row r="21" spans="1:13" x14ac:dyDescent="0.35">
      <c r="A21">
        <v>2082</v>
      </c>
      <c r="B21" s="2" t="s">
        <v>73</v>
      </c>
      <c r="C21" t="s">
        <v>144</v>
      </c>
      <c r="D21" t="s">
        <v>145</v>
      </c>
      <c r="E21">
        <v>200</v>
      </c>
      <c r="F21" t="s">
        <v>146</v>
      </c>
      <c r="G21">
        <v>6.9258350999999996</v>
      </c>
      <c r="H21">
        <v>79.850140199999998</v>
      </c>
      <c r="I21">
        <v>228337890</v>
      </c>
      <c r="J21" s="1">
        <v>409978</v>
      </c>
      <c r="K21" t="s">
        <v>97</v>
      </c>
      <c r="L21" s="3">
        <v>45901</v>
      </c>
      <c r="M21" s="3">
        <f t="shared" si="0"/>
        <v>46292</v>
      </c>
    </row>
    <row r="22" spans="1:13" x14ac:dyDescent="0.35">
      <c r="A22">
        <v>2061</v>
      </c>
      <c r="B22" s="2" t="s">
        <v>38</v>
      </c>
      <c r="C22" t="s">
        <v>147</v>
      </c>
      <c r="D22" t="s">
        <v>148</v>
      </c>
      <c r="E22">
        <v>11450</v>
      </c>
      <c r="F22" t="s">
        <v>149</v>
      </c>
      <c r="G22">
        <v>7.1718095000000002</v>
      </c>
      <c r="H22">
        <v>79.864654700000003</v>
      </c>
      <c r="I22">
        <v>227248063</v>
      </c>
      <c r="J22" s="1">
        <v>336451</v>
      </c>
      <c r="K22" t="s">
        <v>90</v>
      </c>
      <c r="L22" s="3">
        <v>45901</v>
      </c>
      <c r="M22" s="3">
        <f t="shared" si="0"/>
        <v>46292</v>
      </c>
    </row>
    <row r="23" spans="1:13" x14ac:dyDescent="0.35">
      <c r="A23">
        <v>2085</v>
      </c>
      <c r="B23" s="2" t="s">
        <v>44</v>
      </c>
      <c r="C23" t="s">
        <v>150</v>
      </c>
      <c r="D23" t="s">
        <v>151</v>
      </c>
      <c r="E23">
        <v>1400</v>
      </c>
      <c r="F23" t="s">
        <v>152</v>
      </c>
      <c r="G23">
        <v>6.9460465999999998</v>
      </c>
      <c r="H23">
        <v>79.859253199999998</v>
      </c>
      <c r="I23">
        <v>221171660</v>
      </c>
      <c r="J23" s="1">
        <v>559998</v>
      </c>
      <c r="K23" t="s">
        <v>97</v>
      </c>
      <c r="L23" s="3">
        <v>45901</v>
      </c>
      <c r="M23" s="3">
        <f t="shared" si="0"/>
        <v>46292</v>
      </c>
    </row>
    <row r="24" spans="1:13" x14ac:dyDescent="0.35">
      <c r="A24">
        <v>2073</v>
      </c>
      <c r="B24" s="2" t="s">
        <v>43</v>
      </c>
      <c r="C24" t="s">
        <v>153</v>
      </c>
      <c r="D24" t="s">
        <v>154</v>
      </c>
      <c r="E24">
        <v>10600</v>
      </c>
      <c r="F24" t="s">
        <v>155</v>
      </c>
      <c r="G24">
        <v>6.9325045999999997</v>
      </c>
      <c r="H24">
        <v>79.890095400000007</v>
      </c>
      <c r="I24">
        <v>217635824</v>
      </c>
      <c r="J24" s="1">
        <v>287324</v>
      </c>
      <c r="K24" t="s">
        <v>116</v>
      </c>
      <c r="L24" s="3">
        <v>45901</v>
      </c>
      <c r="M24" s="3">
        <f t="shared" si="0"/>
        <v>46292</v>
      </c>
    </row>
    <row r="25" spans="1:13" x14ac:dyDescent="0.35">
      <c r="A25">
        <v>2130</v>
      </c>
      <c r="B25" s="2" t="s">
        <v>48</v>
      </c>
      <c r="C25" t="s">
        <v>156</v>
      </c>
      <c r="D25" t="s">
        <v>157</v>
      </c>
      <c r="E25">
        <v>10100</v>
      </c>
      <c r="F25" t="s">
        <v>158</v>
      </c>
      <c r="G25">
        <v>6.8778813000000003</v>
      </c>
      <c r="H25">
        <v>79.924784799999998</v>
      </c>
      <c r="I25">
        <v>211613655</v>
      </c>
      <c r="J25" s="1">
        <v>316034</v>
      </c>
      <c r="K25" t="s">
        <v>116</v>
      </c>
      <c r="L25" s="3">
        <v>45901</v>
      </c>
      <c r="M25" s="3">
        <f t="shared" si="0"/>
        <v>46292</v>
      </c>
    </row>
    <row r="26" spans="1:13" x14ac:dyDescent="0.35">
      <c r="A26">
        <v>2125</v>
      </c>
      <c r="B26" s="2" t="s">
        <v>40</v>
      </c>
      <c r="C26" t="s">
        <v>159</v>
      </c>
      <c r="D26" t="s">
        <v>160</v>
      </c>
      <c r="E26">
        <v>11300</v>
      </c>
      <c r="F26" t="s">
        <v>161</v>
      </c>
      <c r="G26">
        <v>6.9528648999999998</v>
      </c>
      <c r="H26">
        <v>79.917359599999997</v>
      </c>
      <c r="I26">
        <v>203080598</v>
      </c>
      <c r="J26" s="1">
        <v>244549</v>
      </c>
      <c r="K26" t="s">
        <v>90</v>
      </c>
      <c r="L26" s="3">
        <v>45901</v>
      </c>
      <c r="M26" s="3">
        <f t="shared" si="0"/>
        <v>46292</v>
      </c>
    </row>
    <row r="27" spans="1:13" x14ac:dyDescent="0.35">
      <c r="A27">
        <v>2131</v>
      </c>
      <c r="B27" s="2" t="s">
        <v>36</v>
      </c>
      <c r="C27" t="s">
        <v>162</v>
      </c>
      <c r="D27" t="s">
        <v>163</v>
      </c>
      <c r="E27">
        <v>10350</v>
      </c>
      <c r="F27" t="s">
        <v>164</v>
      </c>
      <c r="G27">
        <v>6.8660585000000003</v>
      </c>
      <c r="H27">
        <v>79.879286899999997</v>
      </c>
      <c r="I27">
        <v>201586528</v>
      </c>
      <c r="J27" s="1">
        <v>296049</v>
      </c>
      <c r="K27" t="s">
        <v>86</v>
      </c>
      <c r="L27" s="3">
        <v>45901</v>
      </c>
      <c r="M27" s="3">
        <f t="shared" si="0"/>
        <v>46292</v>
      </c>
    </row>
    <row r="28" spans="1:13" x14ac:dyDescent="0.35">
      <c r="A28">
        <v>2133</v>
      </c>
      <c r="B28" s="2" t="s">
        <v>17</v>
      </c>
      <c r="C28" t="s">
        <v>165</v>
      </c>
      <c r="D28" t="s">
        <v>166</v>
      </c>
      <c r="E28">
        <v>10290</v>
      </c>
      <c r="F28" t="s">
        <v>167</v>
      </c>
      <c r="G28">
        <v>6.8263601999999999</v>
      </c>
      <c r="H28">
        <v>79.912737300000003</v>
      </c>
      <c r="I28">
        <v>201077298</v>
      </c>
      <c r="J28" s="1">
        <v>364562</v>
      </c>
      <c r="K28" t="s">
        <v>86</v>
      </c>
      <c r="L28" s="3">
        <v>45901</v>
      </c>
      <c r="M28" s="3">
        <f t="shared" si="0"/>
        <v>46292</v>
      </c>
    </row>
    <row r="29" spans="1:13" x14ac:dyDescent="0.35">
      <c r="A29">
        <v>2098</v>
      </c>
      <c r="B29" s="2" t="s">
        <v>49</v>
      </c>
      <c r="C29" t="s">
        <v>168</v>
      </c>
      <c r="D29" t="s">
        <v>169</v>
      </c>
      <c r="E29">
        <v>71722</v>
      </c>
      <c r="F29" t="s">
        <v>170</v>
      </c>
      <c r="G29">
        <v>7.0212743</v>
      </c>
      <c r="H29">
        <v>79.899391699999995</v>
      </c>
      <c r="I29">
        <v>197456769</v>
      </c>
      <c r="J29" s="1">
        <v>368364</v>
      </c>
      <c r="K29" t="s">
        <v>90</v>
      </c>
      <c r="L29" s="3">
        <v>45901</v>
      </c>
      <c r="M29" s="3">
        <f t="shared" si="0"/>
        <v>46292</v>
      </c>
    </row>
    <row r="30" spans="1:13" x14ac:dyDescent="0.35">
      <c r="A30">
        <v>2141</v>
      </c>
      <c r="B30" s="2" t="s">
        <v>63</v>
      </c>
      <c r="C30" t="s">
        <v>171</v>
      </c>
      <c r="D30" t="s">
        <v>172</v>
      </c>
      <c r="E30">
        <v>11880</v>
      </c>
      <c r="F30" t="s">
        <v>173</v>
      </c>
      <c r="G30">
        <v>7.1411595999999999</v>
      </c>
      <c r="H30">
        <v>80.093824299999994</v>
      </c>
      <c r="I30">
        <v>196188628</v>
      </c>
      <c r="J30" s="1">
        <v>213978</v>
      </c>
      <c r="K30" t="s">
        <v>116</v>
      </c>
      <c r="L30" s="3">
        <v>45901</v>
      </c>
      <c r="M30" s="3">
        <f t="shared" si="0"/>
        <v>46292</v>
      </c>
    </row>
    <row r="31" spans="1:13" x14ac:dyDescent="0.35">
      <c r="A31">
        <v>2114</v>
      </c>
      <c r="B31" s="2" t="s">
        <v>76</v>
      </c>
      <c r="C31" t="s">
        <v>174</v>
      </c>
      <c r="D31" t="s">
        <v>175</v>
      </c>
      <c r="E31">
        <v>10600</v>
      </c>
      <c r="F31" t="s">
        <v>176</v>
      </c>
      <c r="G31">
        <v>6.9368650000000001</v>
      </c>
      <c r="H31">
        <v>79.899990599999995</v>
      </c>
      <c r="I31">
        <v>194813622</v>
      </c>
      <c r="J31" s="1">
        <v>344866</v>
      </c>
      <c r="K31" t="s">
        <v>116</v>
      </c>
      <c r="L31" s="3">
        <v>45901</v>
      </c>
      <c r="M31" s="3">
        <f t="shared" si="0"/>
        <v>46292</v>
      </c>
    </row>
    <row r="32" spans="1:13" x14ac:dyDescent="0.35">
      <c r="A32">
        <v>2123</v>
      </c>
      <c r="B32" s="2" t="s">
        <v>45</v>
      </c>
      <c r="C32" t="s">
        <v>177</v>
      </c>
      <c r="D32" t="s">
        <v>178</v>
      </c>
      <c r="E32">
        <v>10600</v>
      </c>
      <c r="F32" t="s">
        <v>179</v>
      </c>
      <c r="G32">
        <v>6.9358282000000004</v>
      </c>
      <c r="H32">
        <v>79.915590800000004</v>
      </c>
      <c r="I32">
        <v>193681781</v>
      </c>
      <c r="J32" s="1">
        <v>322107</v>
      </c>
      <c r="K32" t="s">
        <v>116</v>
      </c>
      <c r="L32" s="3">
        <v>45901</v>
      </c>
      <c r="M32" s="3">
        <f t="shared" si="0"/>
        <v>46292</v>
      </c>
    </row>
    <row r="33" spans="1:13" x14ac:dyDescent="0.35">
      <c r="A33">
        <v>2057</v>
      </c>
      <c r="B33" s="2" t="s">
        <v>11</v>
      </c>
      <c r="C33" t="s">
        <v>180</v>
      </c>
      <c r="D33" t="s">
        <v>181</v>
      </c>
      <c r="E33">
        <v>700</v>
      </c>
      <c r="F33" t="s">
        <v>182</v>
      </c>
      <c r="G33">
        <v>6.9129674999999997</v>
      </c>
      <c r="H33">
        <v>79.865007300000002</v>
      </c>
      <c r="I33">
        <v>192997568</v>
      </c>
      <c r="J33" s="1">
        <v>419051</v>
      </c>
      <c r="K33" t="s">
        <v>97</v>
      </c>
      <c r="L33" s="3">
        <v>45901</v>
      </c>
      <c r="M33" s="3">
        <f t="shared" si="0"/>
        <v>46292</v>
      </c>
    </row>
    <row r="34" spans="1:13" x14ac:dyDescent="0.35">
      <c r="A34">
        <v>2067</v>
      </c>
      <c r="B34" s="2" t="s">
        <v>61</v>
      </c>
      <c r="C34" t="s">
        <v>183</v>
      </c>
      <c r="D34" t="s">
        <v>157</v>
      </c>
      <c r="E34">
        <v>500</v>
      </c>
      <c r="F34" t="s">
        <v>184</v>
      </c>
      <c r="G34">
        <v>6.8882485999999998</v>
      </c>
      <c r="H34">
        <v>79.887554800000004</v>
      </c>
      <c r="I34">
        <v>191658941</v>
      </c>
      <c r="J34" s="1">
        <v>291130</v>
      </c>
      <c r="K34" t="s">
        <v>116</v>
      </c>
      <c r="L34" s="3">
        <v>45901</v>
      </c>
      <c r="M34" s="3">
        <f t="shared" si="0"/>
        <v>46292</v>
      </c>
    </row>
    <row r="35" spans="1:13" x14ac:dyDescent="0.35">
      <c r="A35">
        <v>2143</v>
      </c>
      <c r="B35" s="2" t="s">
        <v>24</v>
      </c>
      <c r="C35" t="s">
        <v>185</v>
      </c>
      <c r="D35" t="s">
        <v>186</v>
      </c>
      <c r="E35">
        <v>10280</v>
      </c>
      <c r="F35" t="s">
        <v>187</v>
      </c>
      <c r="G35">
        <v>6.8459449000000001</v>
      </c>
      <c r="H35">
        <v>79.926136600000007</v>
      </c>
      <c r="I35">
        <v>191656497</v>
      </c>
      <c r="J35" s="1">
        <v>265522</v>
      </c>
      <c r="K35" t="s">
        <v>86</v>
      </c>
      <c r="L35" s="3">
        <v>45901</v>
      </c>
      <c r="M35" s="3">
        <f t="shared" si="0"/>
        <v>46292</v>
      </c>
    </row>
    <row r="36" spans="1:13" x14ac:dyDescent="0.35">
      <c r="A36">
        <v>2100</v>
      </c>
      <c r="B36" s="2" t="s">
        <v>77</v>
      </c>
      <c r="C36" t="s">
        <v>188</v>
      </c>
      <c r="D36" t="s">
        <v>189</v>
      </c>
      <c r="E36">
        <v>600</v>
      </c>
      <c r="F36" t="s">
        <v>190</v>
      </c>
      <c r="G36">
        <v>6.8714465999999996</v>
      </c>
      <c r="H36">
        <v>79.865755500000006</v>
      </c>
      <c r="I36">
        <v>185843343</v>
      </c>
      <c r="J36" s="1">
        <v>266427</v>
      </c>
      <c r="K36" t="s">
        <v>97</v>
      </c>
      <c r="L36" s="3">
        <v>45901</v>
      </c>
      <c r="M36" s="3">
        <f t="shared" si="0"/>
        <v>46292</v>
      </c>
    </row>
    <row r="37" spans="1:13" x14ac:dyDescent="0.35">
      <c r="A37">
        <v>2076</v>
      </c>
      <c r="B37" s="2" t="s">
        <v>29</v>
      </c>
      <c r="C37" t="s">
        <v>191</v>
      </c>
      <c r="D37" t="s">
        <v>151</v>
      </c>
      <c r="E37">
        <v>1400</v>
      </c>
      <c r="F37" t="s">
        <v>192</v>
      </c>
      <c r="G37">
        <v>6.9475312000000002</v>
      </c>
      <c r="H37">
        <v>79.872111799999999</v>
      </c>
      <c r="I37">
        <v>185563385</v>
      </c>
      <c r="J37" s="1">
        <v>289252</v>
      </c>
      <c r="K37" t="s">
        <v>97</v>
      </c>
      <c r="L37" s="3">
        <v>45901</v>
      </c>
      <c r="M37" s="3">
        <f t="shared" si="0"/>
        <v>46292</v>
      </c>
    </row>
    <row r="38" spans="1:13" x14ac:dyDescent="0.35">
      <c r="A38">
        <v>2088</v>
      </c>
      <c r="B38" s="2" t="s">
        <v>66</v>
      </c>
      <c r="C38" t="s">
        <v>193</v>
      </c>
      <c r="D38" t="s">
        <v>130</v>
      </c>
      <c r="E38">
        <v>11500</v>
      </c>
      <c r="F38" t="s">
        <v>194</v>
      </c>
      <c r="G38">
        <v>7.2249093999999996</v>
      </c>
      <c r="H38">
        <v>79.846421199999995</v>
      </c>
      <c r="I38">
        <v>181564412</v>
      </c>
      <c r="J38" s="1">
        <v>297938</v>
      </c>
      <c r="K38" t="s">
        <v>90</v>
      </c>
      <c r="L38" s="3">
        <v>45901</v>
      </c>
      <c r="M38" s="3">
        <f t="shared" si="0"/>
        <v>46292</v>
      </c>
    </row>
    <row r="39" spans="1:13" x14ac:dyDescent="0.35">
      <c r="A39">
        <v>2109</v>
      </c>
      <c r="B39" s="2" t="s">
        <v>28</v>
      </c>
      <c r="C39" t="s">
        <v>195</v>
      </c>
      <c r="D39" t="s">
        <v>196</v>
      </c>
      <c r="E39">
        <v>10600</v>
      </c>
      <c r="F39" t="s">
        <v>197</v>
      </c>
      <c r="G39">
        <v>6.9240722000000003</v>
      </c>
      <c r="H39">
        <v>79.914221299999994</v>
      </c>
      <c r="I39">
        <v>180055008</v>
      </c>
      <c r="J39" s="1">
        <v>399068</v>
      </c>
      <c r="K39" t="s">
        <v>116</v>
      </c>
      <c r="L39" s="3">
        <v>45901</v>
      </c>
      <c r="M39" s="3">
        <f t="shared" si="0"/>
        <v>46292</v>
      </c>
    </row>
    <row r="40" spans="1:13" x14ac:dyDescent="0.35">
      <c r="A40">
        <v>2112</v>
      </c>
      <c r="B40" s="2" t="s">
        <v>42</v>
      </c>
      <c r="C40" t="s">
        <v>198</v>
      </c>
      <c r="D40" t="s">
        <v>199</v>
      </c>
      <c r="E40">
        <v>600</v>
      </c>
      <c r="F40" t="s">
        <v>200</v>
      </c>
      <c r="G40">
        <v>6.8780495999999998</v>
      </c>
      <c r="H40">
        <v>79.876278299999996</v>
      </c>
      <c r="I40">
        <v>179450033</v>
      </c>
      <c r="J40" s="1">
        <v>312993</v>
      </c>
      <c r="K40" t="s">
        <v>86</v>
      </c>
      <c r="L40" s="3">
        <v>45901</v>
      </c>
      <c r="M40" s="3">
        <f t="shared" si="0"/>
        <v>46292</v>
      </c>
    </row>
    <row r="41" spans="1:13" x14ac:dyDescent="0.35">
      <c r="A41">
        <v>2134</v>
      </c>
      <c r="B41" s="2" t="s">
        <v>32</v>
      </c>
      <c r="C41" t="s">
        <v>201</v>
      </c>
      <c r="D41" t="s">
        <v>202</v>
      </c>
      <c r="E41">
        <v>10350</v>
      </c>
      <c r="F41" t="s">
        <v>203</v>
      </c>
      <c r="G41">
        <v>6.8497769000000002</v>
      </c>
      <c r="H41">
        <v>79.875413300000005</v>
      </c>
      <c r="I41">
        <v>179327208</v>
      </c>
      <c r="J41" s="1">
        <v>260912</v>
      </c>
      <c r="K41" t="s">
        <v>86</v>
      </c>
      <c r="L41" s="3">
        <v>45901</v>
      </c>
      <c r="M41" s="3">
        <f t="shared" si="0"/>
        <v>46292</v>
      </c>
    </row>
    <row r="42" spans="1:13" x14ac:dyDescent="0.35">
      <c r="A42">
        <v>2147</v>
      </c>
      <c r="B42" s="2" t="s">
        <v>204</v>
      </c>
      <c r="C42" t="s">
        <v>205</v>
      </c>
      <c r="D42" t="s">
        <v>206</v>
      </c>
      <c r="E42">
        <v>12000</v>
      </c>
      <c r="F42" t="s">
        <v>207</v>
      </c>
      <c r="G42">
        <v>6.5778147999999996</v>
      </c>
      <c r="H42">
        <v>79.962724800000004</v>
      </c>
      <c r="I42">
        <v>177792442</v>
      </c>
      <c r="J42" s="1">
        <v>146130</v>
      </c>
      <c r="K42" t="s">
        <v>86</v>
      </c>
      <c r="L42" s="3">
        <v>45901</v>
      </c>
      <c r="M42" s="3">
        <f t="shared" si="0"/>
        <v>46292</v>
      </c>
    </row>
    <row r="43" spans="1:13" x14ac:dyDescent="0.35">
      <c r="A43">
        <v>2064</v>
      </c>
      <c r="B43" s="2" t="s">
        <v>55</v>
      </c>
      <c r="C43" t="s">
        <v>208</v>
      </c>
      <c r="D43" t="s">
        <v>136</v>
      </c>
      <c r="E43">
        <v>1000</v>
      </c>
      <c r="F43" t="s">
        <v>209</v>
      </c>
      <c r="G43">
        <v>6.9232554999999998</v>
      </c>
      <c r="H43">
        <v>79.873087999999996</v>
      </c>
      <c r="I43">
        <v>177464439</v>
      </c>
      <c r="J43" s="1">
        <v>463415</v>
      </c>
      <c r="K43" t="s">
        <v>97</v>
      </c>
      <c r="L43" s="3">
        <v>45901</v>
      </c>
      <c r="M43" s="3">
        <f t="shared" si="0"/>
        <v>46292</v>
      </c>
    </row>
    <row r="44" spans="1:13" x14ac:dyDescent="0.35">
      <c r="A44">
        <v>2129</v>
      </c>
      <c r="B44" s="2" t="s">
        <v>15</v>
      </c>
      <c r="C44" t="s">
        <v>210</v>
      </c>
      <c r="D44" t="s">
        <v>211</v>
      </c>
      <c r="E44">
        <v>10120</v>
      </c>
      <c r="F44" t="s">
        <v>212</v>
      </c>
      <c r="G44">
        <v>6.9020231000000001</v>
      </c>
      <c r="H44">
        <v>79.9160282</v>
      </c>
      <c r="I44">
        <v>175373728</v>
      </c>
      <c r="J44" s="1">
        <v>267050</v>
      </c>
      <c r="K44" t="s">
        <v>116</v>
      </c>
      <c r="L44" s="3">
        <v>45901</v>
      </c>
      <c r="M44" s="3">
        <f t="shared" si="0"/>
        <v>46292</v>
      </c>
    </row>
    <row r="45" spans="1:13" x14ac:dyDescent="0.35">
      <c r="A45">
        <v>2136</v>
      </c>
      <c r="B45" s="2" t="s">
        <v>67</v>
      </c>
      <c r="C45" t="s">
        <v>213</v>
      </c>
      <c r="D45" t="s">
        <v>214</v>
      </c>
      <c r="E45">
        <v>1100</v>
      </c>
      <c r="F45" t="s">
        <v>215</v>
      </c>
      <c r="G45">
        <v>6.9365573999999999</v>
      </c>
      <c r="H45">
        <v>79.856128999999996</v>
      </c>
      <c r="I45">
        <v>175246366</v>
      </c>
      <c r="J45" s="1">
        <v>298713</v>
      </c>
      <c r="K45" t="s">
        <v>97</v>
      </c>
      <c r="L45" s="3">
        <v>45901</v>
      </c>
      <c r="M45" s="3">
        <f t="shared" si="0"/>
        <v>46292</v>
      </c>
    </row>
    <row r="46" spans="1:13" x14ac:dyDescent="0.35">
      <c r="A46">
        <v>2097</v>
      </c>
      <c r="B46" s="2" t="s">
        <v>71</v>
      </c>
      <c r="C46" t="s">
        <v>216</v>
      </c>
      <c r="D46" t="s">
        <v>217</v>
      </c>
      <c r="E46">
        <v>10100</v>
      </c>
      <c r="F46" t="s">
        <v>218</v>
      </c>
      <c r="G46">
        <v>6.9152107999999997</v>
      </c>
      <c r="H46">
        <v>79.890549500000006</v>
      </c>
      <c r="I46">
        <v>163704837</v>
      </c>
      <c r="J46" s="1">
        <v>351752</v>
      </c>
      <c r="K46" t="s">
        <v>116</v>
      </c>
      <c r="L46" s="3">
        <v>45901</v>
      </c>
      <c r="M46" s="3">
        <f t="shared" si="0"/>
        <v>46292</v>
      </c>
    </row>
    <row r="47" spans="1:13" x14ac:dyDescent="0.35">
      <c r="A47">
        <v>2074</v>
      </c>
      <c r="B47" s="2" t="s">
        <v>39</v>
      </c>
      <c r="C47" t="s">
        <v>219</v>
      </c>
      <c r="D47" t="s">
        <v>130</v>
      </c>
      <c r="E47">
        <v>11500</v>
      </c>
      <c r="F47" t="s">
        <v>220</v>
      </c>
      <c r="G47">
        <v>7.2111095000000001</v>
      </c>
      <c r="H47">
        <v>79.858423599999995</v>
      </c>
      <c r="I47">
        <v>162230812</v>
      </c>
      <c r="J47" s="1">
        <v>494046</v>
      </c>
      <c r="K47" t="s">
        <v>90</v>
      </c>
      <c r="L47" s="3">
        <v>45901</v>
      </c>
      <c r="M47" s="3">
        <f t="shared" si="0"/>
        <v>46292</v>
      </c>
    </row>
    <row r="48" spans="1:13" x14ac:dyDescent="0.35">
      <c r="A48">
        <v>2107</v>
      </c>
      <c r="B48" s="2" t="s">
        <v>59</v>
      </c>
      <c r="C48" t="s">
        <v>221</v>
      </c>
      <c r="D48" t="s">
        <v>222</v>
      </c>
      <c r="E48">
        <v>10370</v>
      </c>
      <c r="F48" t="s">
        <v>223</v>
      </c>
      <c r="G48">
        <v>6.8381759000000004</v>
      </c>
      <c r="H48">
        <v>79.867641399999997</v>
      </c>
      <c r="I48">
        <v>161897890</v>
      </c>
      <c r="J48" s="1">
        <v>554602</v>
      </c>
      <c r="K48" t="s">
        <v>86</v>
      </c>
      <c r="L48" s="3">
        <v>45901</v>
      </c>
      <c r="M48" s="3">
        <f t="shared" si="0"/>
        <v>46292</v>
      </c>
    </row>
    <row r="49" spans="1:13" x14ac:dyDescent="0.35">
      <c r="A49">
        <v>2070</v>
      </c>
      <c r="B49" s="2" t="s">
        <v>16</v>
      </c>
      <c r="C49" t="s">
        <v>224</v>
      </c>
      <c r="D49" t="s">
        <v>225</v>
      </c>
      <c r="E49">
        <v>1500</v>
      </c>
      <c r="F49" t="s">
        <v>226</v>
      </c>
      <c r="G49">
        <v>6.9614196000000002</v>
      </c>
      <c r="H49">
        <v>79.868297799999993</v>
      </c>
      <c r="I49">
        <v>161554071</v>
      </c>
      <c r="J49" s="1">
        <v>310177</v>
      </c>
      <c r="K49" t="s">
        <v>97</v>
      </c>
      <c r="L49" s="3">
        <v>45901</v>
      </c>
      <c r="M49" s="3">
        <f t="shared" si="0"/>
        <v>46292</v>
      </c>
    </row>
    <row r="50" spans="1:13" x14ac:dyDescent="0.35">
      <c r="A50">
        <v>2113</v>
      </c>
      <c r="B50" s="2" t="s">
        <v>8</v>
      </c>
      <c r="C50" t="s">
        <v>227</v>
      </c>
      <c r="D50" t="s">
        <v>8</v>
      </c>
      <c r="E50">
        <v>11320</v>
      </c>
      <c r="F50" t="s">
        <v>228</v>
      </c>
      <c r="G50">
        <v>7.0479529999999997</v>
      </c>
      <c r="H50">
        <v>79.897598299999999</v>
      </c>
      <c r="I50">
        <v>161130981</v>
      </c>
      <c r="J50" s="1">
        <v>397643</v>
      </c>
      <c r="K50" t="s">
        <v>90</v>
      </c>
      <c r="L50" s="3">
        <v>45901</v>
      </c>
      <c r="M50" s="3">
        <f t="shared" si="0"/>
        <v>46292</v>
      </c>
    </row>
    <row r="51" spans="1:13" x14ac:dyDescent="0.35">
      <c r="A51">
        <v>2138</v>
      </c>
      <c r="B51" s="2" t="s">
        <v>78</v>
      </c>
      <c r="C51" t="s">
        <v>229</v>
      </c>
      <c r="D51" t="s">
        <v>230</v>
      </c>
      <c r="E51">
        <v>11870</v>
      </c>
      <c r="F51" t="s">
        <v>231</v>
      </c>
      <c r="G51">
        <v>7.0854156000000001</v>
      </c>
      <c r="H51">
        <v>80.034188700000001</v>
      </c>
      <c r="I51">
        <v>160546426</v>
      </c>
      <c r="J51" s="1">
        <v>294003</v>
      </c>
      <c r="K51" t="s">
        <v>116</v>
      </c>
      <c r="L51" s="3">
        <v>45901</v>
      </c>
      <c r="M51" s="3">
        <f t="shared" si="0"/>
        <v>46292</v>
      </c>
    </row>
    <row r="52" spans="1:13" x14ac:dyDescent="0.35">
      <c r="A52">
        <v>2069</v>
      </c>
      <c r="B52" s="2" t="s">
        <v>56</v>
      </c>
      <c r="C52" t="s">
        <v>232</v>
      </c>
      <c r="D52" t="s">
        <v>233</v>
      </c>
      <c r="E52">
        <v>1500</v>
      </c>
      <c r="F52" t="s">
        <v>234</v>
      </c>
      <c r="G52">
        <v>6.9719439999999997</v>
      </c>
      <c r="H52">
        <v>79.873607899999996</v>
      </c>
      <c r="I52">
        <v>160041296</v>
      </c>
      <c r="J52" s="1">
        <v>411749</v>
      </c>
      <c r="K52" t="s">
        <v>97</v>
      </c>
      <c r="L52" s="3">
        <v>45901</v>
      </c>
      <c r="M52" s="3">
        <f t="shared" si="0"/>
        <v>46292</v>
      </c>
    </row>
    <row r="53" spans="1:13" x14ac:dyDescent="0.35">
      <c r="A53">
        <v>2059</v>
      </c>
      <c r="B53" s="2" t="s">
        <v>19</v>
      </c>
      <c r="C53" t="s">
        <v>235</v>
      </c>
      <c r="D53" t="s">
        <v>99</v>
      </c>
      <c r="E53">
        <v>800</v>
      </c>
      <c r="F53" t="s">
        <v>236</v>
      </c>
      <c r="G53">
        <v>6.9110851999999996</v>
      </c>
      <c r="H53">
        <v>79.886949099999995</v>
      </c>
      <c r="I53">
        <v>158487456</v>
      </c>
      <c r="J53" s="1">
        <v>418888</v>
      </c>
      <c r="K53" t="s">
        <v>97</v>
      </c>
      <c r="L53" s="3">
        <v>45901</v>
      </c>
      <c r="M53" s="3">
        <f t="shared" si="0"/>
        <v>46292</v>
      </c>
    </row>
    <row r="54" spans="1:13" x14ac:dyDescent="0.35">
      <c r="A54">
        <v>2101</v>
      </c>
      <c r="B54" s="2" t="s">
        <v>21</v>
      </c>
      <c r="C54" t="s">
        <v>237</v>
      </c>
      <c r="D54" t="s">
        <v>160</v>
      </c>
      <c r="E54">
        <v>11300</v>
      </c>
      <c r="F54" t="s">
        <v>238</v>
      </c>
      <c r="G54">
        <v>6.9710492999999998</v>
      </c>
      <c r="H54">
        <v>79.916001300000005</v>
      </c>
      <c r="I54">
        <v>155866093</v>
      </c>
      <c r="J54" s="1">
        <v>188231</v>
      </c>
      <c r="K54" t="s">
        <v>90</v>
      </c>
      <c r="L54" s="3">
        <v>45901</v>
      </c>
      <c r="M54" s="3">
        <f t="shared" si="0"/>
        <v>46292</v>
      </c>
    </row>
    <row r="55" spans="1:13" x14ac:dyDescent="0.35">
      <c r="A55">
        <v>2145</v>
      </c>
      <c r="B55" s="2" t="s">
        <v>10</v>
      </c>
      <c r="C55" t="s">
        <v>239</v>
      </c>
      <c r="D55" t="s">
        <v>10</v>
      </c>
      <c r="E55">
        <v>10250</v>
      </c>
      <c r="F55" t="s">
        <v>240</v>
      </c>
      <c r="G55">
        <v>6.8744066000000004</v>
      </c>
      <c r="H55">
        <v>79.891561600000003</v>
      </c>
      <c r="I55">
        <v>148782880</v>
      </c>
      <c r="J55" s="1">
        <v>175268</v>
      </c>
      <c r="K55" t="s">
        <v>86</v>
      </c>
      <c r="L55" s="3">
        <v>45901</v>
      </c>
      <c r="M55" s="3">
        <f t="shared" si="0"/>
        <v>46292</v>
      </c>
    </row>
    <row r="56" spans="1:13" x14ac:dyDescent="0.35">
      <c r="A56">
        <v>2128</v>
      </c>
      <c r="B56" s="2" t="s">
        <v>13</v>
      </c>
      <c r="C56" t="s">
        <v>241</v>
      </c>
      <c r="D56" t="s">
        <v>202</v>
      </c>
      <c r="E56">
        <v>10350</v>
      </c>
      <c r="F56" t="s">
        <v>242</v>
      </c>
      <c r="G56">
        <v>6.8352849000000004</v>
      </c>
      <c r="H56">
        <v>79.884854799999999</v>
      </c>
      <c r="I56">
        <v>143293364</v>
      </c>
      <c r="J56" s="1">
        <v>241339</v>
      </c>
      <c r="K56" t="s">
        <v>86</v>
      </c>
      <c r="L56" s="3">
        <v>45901</v>
      </c>
      <c r="M56" s="3">
        <f t="shared" si="0"/>
        <v>46292</v>
      </c>
    </row>
    <row r="57" spans="1:13" x14ac:dyDescent="0.35">
      <c r="A57">
        <v>2075</v>
      </c>
      <c r="B57" s="2" t="s">
        <v>69</v>
      </c>
      <c r="C57" t="s">
        <v>243</v>
      </c>
      <c r="D57" t="s">
        <v>244</v>
      </c>
      <c r="E57">
        <v>11400</v>
      </c>
      <c r="F57" t="s">
        <v>245</v>
      </c>
      <c r="G57">
        <v>7.1389275999999997</v>
      </c>
      <c r="H57">
        <v>79.900172100000006</v>
      </c>
      <c r="I57">
        <v>139858512</v>
      </c>
      <c r="J57" s="1">
        <v>293474</v>
      </c>
      <c r="K57" t="s">
        <v>90</v>
      </c>
      <c r="L57" s="3">
        <f>L56</f>
        <v>45901</v>
      </c>
      <c r="M57" s="3">
        <f t="shared" si="0"/>
        <v>46292</v>
      </c>
    </row>
    <row r="58" spans="1:13" x14ac:dyDescent="0.35">
      <c r="A58">
        <v>2142</v>
      </c>
      <c r="B58" s="2" t="s">
        <v>9</v>
      </c>
      <c r="C58" t="s">
        <v>246</v>
      </c>
      <c r="D58" t="s">
        <v>9</v>
      </c>
      <c r="E58">
        <v>11100</v>
      </c>
      <c r="F58" t="s">
        <v>247</v>
      </c>
      <c r="G58">
        <v>7.1266555</v>
      </c>
      <c r="H58">
        <v>80.071467499999997</v>
      </c>
      <c r="I58">
        <v>139046154</v>
      </c>
      <c r="J58" s="1">
        <v>278748</v>
      </c>
      <c r="K58" t="s">
        <v>116</v>
      </c>
      <c r="L58" s="3">
        <f t="shared" ref="L58:L78" si="1">L57</f>
        <v>45901</v>
      </c>
      <c r="M58" s="3">
        <f t="shared" si="0"/>
        <v>46292</v>
      </c>
    </row>
    <row r="59" spans="1:13" x14ac:dyDescent="0.35">
      <c r="A59">
        <v>2060</v>
      </c>
      <c r="B59" s="2" t="s">
        <v>31</v>
      </c>
      <c r="C59" t="s">
        <v>248</v>
      </c>
      <c r="D59" t="s">
        <v>111</v>
      </c>
      <c r="E59">
        <v>11300</v>
      </c>
      <c r="F59" t="s">
        <v>249</v>
      </c>
      <c r="G59">
        <v>6.9964677999999996</v>
      </c>
      <c r="H59">
        <v>79.889408900000006</v>
      </c>
      <c r="I59">
        <v>138149370</v>
      </c>
      <c r="J59" s="1">
        <v>330069</v>
      </c>
      <c r="K59" t="s">
        <v>90</v>
      </c>
      <c r="L59" s="3">
        <f t="shared" si="1"/>
        <v>45901</v>
      </c>
      <c r="M59" s="3">
        <f t="shared" si="0"/>
        <v>46292</v>
      </c>
    </row>
    <row r="60" spans="1:13" x14ac:dyDescent="0.35">
      <c r="A60">
        <v>2102</v>
      </c>
      <c r="B60" s="2" t="s">
        <v>41</v>
      </c>
      <c r="C60" t="s">
        <v>250</v>
      </c>
      <c r="D60" t="s">
        <v>251</v>
      </c>
      <c r="E60">
        <v>11600</v>
      </c>
      <c r="F60" t="s">
        <v>252</v>
      </c>
      <c r="G60">
        <v>6.9806980000000003</v>
      </c>
      <c r="H60">
        <v>79.9284921</v>
      </c>
      <c r="I60">
        <v>135140506</v>
      </c>
      <c r="J60" s="1">
        <v>164605</v>
      </c>
      <c r="K60" t="s">
        <v>116</v>
      </c>
      <c r="L60" s="3">
        <f t="shared" si="1"/>
        <v>45901</v>
      </c>
      <c r="M60" s="3">
        <f t="shared" si="0"/>
        <v>46292</v>
      </c>
    </row>
    <row r="61" spans="1:13" x14ac:dyDescent="0.35">
      <c r="A61">
        <v>2118</v>
      </c>
      <c r="B61" s="2" t="s">
        <v>64</v>
      </c>
      <c r="C61" t="s">
        <v>253</v>
      </c>
      <c r="D61" t="s">
        <v>254</v>
      </c>
      <c r="E61">
        <v>600</v>
      </c>
      <c r="F61" t="s">
        <v>255</v>
      </c>
      <c r="G61">
        <v>6.8769742000000003</v>
      </c>
      <c r="H61">
        <v>79.868829000000005</v>
      </c>
      <c r="I61">
        <v>133003045</v>
      </c>
      <c r="J61" s="1">
        <v>243370</v>
      </c>
      <c r="K61" t="s">
        <v>97</v>
      </c>
      <c r="L61" s="3">
        <f t="shared" si="1"/>
        <v>45901</v>
      </c>
      <c r="M61" s="3">
        <f t="shared" si="0"/>
        <v>46292</v>
      </c>
    </row>
    <row r="62" spans="1:13" x14ac:dyDescent="0.35">
      <c r="A62">
        <v>2096</v>
      </c>
      <c r="B62" s="2" t="s">
        <v>57</v>
      </c>
      <c r="C62" t="s">
        <v>256</v>
      </c>
      <c r="D62" t="s">
        <v>118</v>
      </c>
      <c r="E62">
        <v>1500</v>
      </c>
      <c r="F62" t="s">
        <v>257</v>
      </c>
      <c r="G62">
        <v>6.9568193999999997</v>
      </c>
      <c r="H62">
        <v>79.861851799999997</v>
      </c>
      <c r="I62">
        <v>132056806</v>
      </c>
      <c r="J62" s="1">
        <v>325187412</v>
      </c>
      <c r="K62" t="s">
        <v>97</v>
      </c>
      <c r="L62" s="3">
        <f t="shared" si="1"/>
        <v>45901</v>
      </c>
      <c r="M62" s="3">
        <f t="shared" si="0"/>
        <v>46292</v>
      </c>
    </row>
    <row r="63" spans="1:13" x14ac:dyDescent="0.35">
      <c r="A63">
        <v>2140</v>
      </c>
      <c r="B63" s="2" t="s">
        <v>25</v>
      </c>
      <c r="C63" t="s">
        <v>258</v>
      </c>
      <c r="D63" t="s">
        <v>259</v>
      </c>
      <c r="E63">
        <v>11300</v>
      </c>
      <c r="F63" t="s">
        <v>260</v>
      </c>
      <c r="G63">
        <v>6.9939945000000003</v>
      </c>
      <c r="H63">
        <v>79.913453799999999</v>
      </c>
      <c r="I63">
        <v>131594203</v>
      </c>
      <c r="J63" s="1">
        <v>331578</v>
      </c>
      <c r="K63" t="s">
        <v>90</v>
      </c>
      <c r="L63" s="3">
        <f t="shared" si="1"/>
        <v>45901</v>
      </c>
      <c r="M63" s="3">
        <f t="shared" si="0"/>
        <v>46292</v>
      </c>
    </row>
    <row r="64" spans="1:13" x14ac:dyDescent="0.35">
      <c r="A64">
        <v>2117</v>
      </c>
      <c r="B64" s="2" t="s">
        <v>53</v>
      </c>
      <c r="C64" t="s">
        <v>261</v>
      </c>
      <c r="D64" t="s">
        <v>262</v>
      </c>
      <c r="E64">
        <v>100</v>
      </c>
      <c r="F64" t="s">
        <v>263</v>
      </c>
      <c r="G64">
        <v>6.9262604000000003</v>
      </c>
      <c r="H64">
        <v>79.866888900000006</v>
      </c>
      <c r="I64">
        <v>128262424</v>
      </c>
      <c r="J64" s="1">
        <v>335380</v>
      </c>
      <c r="K64" t="s">
        <v>97</v>
      </c>
      <c r="L64" s="3">
        <f t="shared" si="1"/>
        <v>45901</v>
      </c>
      <c r="M64" s="3">
        <f t="shared" si="0"/>
        <v>46292</v>
      </c>
    </row>
    <row r="65" spans="1:13" x14ac:dyDescent="0.35">
      <c r="A65">
        <v>2127</v>
      </c>
      <c r="B65" s="2" t="s">
        <v>34</v>
      </c>
      <c r="C65" t="s">
        <v>264</v>
      </c>
      <c r="D65" t="s">
        <v>265</v>
      </c>
      <c r="E65">
        <v>11300</v>
      </c>
      <c r="F65" t="s">
        <v>266</v>
      </c>
      <c r="G65">
        <v>6.9737657000000004</v>
      </c>
      <c r="H65">
        <v>79.921044800000004</v>
      </c>
      <c r="I65">
        <v>127937073</v>
      </c>
      <c r="J65" s="1">
        <v>256815</v>
      </c>
      <c r="K65" t="s">
        <v>90</v>
      </c>
      <c r="L65" s="3">
        <f t="shared" si="1"/>
        <v>45901</v>
      </c>
      <c r="M65" s="3">
        <f t="shared" si="0"/>
        <v>46292</v>
      </c>
    </row>
    <row r="66" spans="1:13" x14ac:dyDescent="0.35">
      <c r="A66">
        <v>2137</v>
      </c>
      <c r="B66" s="2" t="s">
        <v>37</v>
      </c>
      <c r="C66" t="s">
        <v>267</v>
      </c>
      <c r="D66" t="s">
        <v>251</v>
      </c>
      <c r="E66">
        <v>11600</v>
      </c>
      <c r="F66" t="s">
        <v>268</v>
      </c>
      <c r="G66">
        <v>6.9764094999999999</v>
      </c>
      <c r="H66">
        <v>79.925158600000003</v>
      </c>
      <c r="I66">
        <v>118364846</v>
      </c>
      <c r="J66" s="1">
        <v>251338</v>
      </c>
      <c r="K66" t="s">
        <v>116</v>
      </c>
      <c r="L66" s="3">
        <f t="shared" si="1"/>
        <v>45901</v>
      </c>
      <c r="M66" s="3">
        <f t="shared" si="0"/>
        <v>46292</v>
      </c>
    </row>
    <row r="67" spans="1:13" x14ac:dyDescent="0.35">
      <c r="A67">
        <v>2144</v>
      </c>
      <c r="B67" s="2" t="s">
        <v>72</v>
      </c>
      <c r="C67" t="s">
        <v>269</v>
      </c>
      <c r="D67" t="s">
        <v>270</v>
      </c>
      <c r="E67">
        <v>10390</v>
      </c>
      <c r="F67" t="s">
        <v>271</v>
      </c>
      <c r="G67">
        <v>6.8248229</v>
      </c>
      <c r="H67">
        <v>79.870149100000006</v>
      </c>
      <c r="I67">
        <v>117622766</v>
      </c>
      <c r="J67" s="1">
        <v>218963</v>
      </c>
      <c r="K67" t="s">
        <v>86</v>
      </c>
      <c r="L67" s="3">
        <f t="shared" si="1"/>
        <v>45901</v>
      </c>
      <c r="M67" s="3">
        <f t="shared" si="0"/>
        <v>46292</v>
      </c>
    </row>
    <row r="68" spans="1:13" x14ac:dyDescent="0.35">
      <c r="A68">
        <v>2095</v>
      </c>
      <c r="B68" s="2" t="s">
        <v>23</v>
      </c>
      <c r="C68" t="s">
        <v>272</v>
      </c>
      <c r="D68" t="s">
        <v>202</v>
      </c>
      <c r="E68">
        <v>10350</v>
      </c>
      <c r="F68" t="s">
        <v>273</v>
      </c>
      <c r="G68">
        <v>6.8513853999999998</v>
      </c>
      <c r="H68">
        <v>79.865341599999994</v>
      </c>
      <c r="I68">
        <v>114613263</v>
      </c>
      <c r="J68" s="1">
        <v>247002</v>
      </c>
      <c r="K68" t="s">
        <v>86</v>
      </c>
      <c r="L68" s="3">
        <f t="shared" si="1"/>
        <v>45901</v>
      </c>
      <c r="M68" s="3">
        <f t="shared" ref="M68:M78" si="2">$M$2</f>
        <v>46292</v>
      </c>
    </row>
    <row r="69" spans="1:13" x14ac:dyDescent="0.35">
      <c r="A69">
        <v>2110</v>
      </c>
      <c r="B69" s="2" t="s">
        <v>47</v>
      </c>
      <c r="C69" t="s">
        <v>274</v>
      </c>
      <c r="D69" t="s">
        <v>275</v>
      </c>
      <c r="E69">
        <v>10300</v>
      </c>
      <c r="F69" t="s">
        <v>276</v>
      </c>
      <c r="G69">
        <v>6.7962910000000001</v>
      </c>
      <c r="H69">
        <v>79.926344</v>
      </c>
      <c r="I69">
        <v>110044705</v>
      </c>
      <c r="J69" s="1">
        <v>255036</v>
      </c>
      <c r="K69" t="s">
        <v>86</v>
      </c>
      <c r="L69" s="3">
        <f t="shared" si="1"/>
        <v>45901</v>
      </c>
      <c r="M69" s="3">
        <f t="shared" si="2"/>
        <v>46292</v>
      </c>
    </row>
    <row r="70" spans="1:13" x14ac:dyDescent="0.35">
      <c r="A70">
        <v>2148</v>
      </c>
      <c r="B70" s="2" t="s">
        <v>277</v>
      </c>
      <c r="C70" t="s">
        <v>278</v>
      </c>
      <c r="D70" t="s">
        <v>133</v>
      </c>
      <c r="E70">
        <v>10115</v>
      </c>
      <c r="F70" t="s">
        <v>279</v>
      </c>
      <c r="G70">
        <v>6.9024998000000002</v>
      </c>
      <c r="H70">
        <v>79.956264000000004</v>
      </c>
      <c r="I70">
        <v>108342290</v>
      </c>
      <c r="J70" s="1">
        <v>88221</v>
      </c>
      <c r="K70" t="s">
        <v>116</v>
      </c>
      <c r="L70" s="3">
        <f t="shared" si="1"/>
        <v>45901</v>
      </c>
      <c r="M70" s="3">
        <f t="shared" si="2"/>
        <v>46292</v>
      </c>
    </row>
    <row r="71" spans="1:13" x14ac:dyDescent="0.35">
      <c r="A71">
        <v>2146</v>
      </c>
      <c r="B71" s="2" t="s">
        <v>280</v>
      </c>
      <c r="C71" t="s">
        <v>281</v>
      </c>
      <c r="D71" t="s">
        <v>105</v>
      </c>
      <c r="E71">
        <v>12500</v>
      </c>
      <c r="F71" t="s">
        <v>282</v>
      </c>
      <c r="G71">
        <v>6.7103197000000003</v>
      </c>
      <c r="H71">
        <v>79.914668000000006</v>
      </c>
      <c r="I71">
        <v>103497824</v>
      </c>
      <c r="J71" s="1">
        <v>116961</v>
      </c>
      <c r="K71" t="s">
        <v>86</v>
      </c>
      <c r="L71" s="3">
        <f t="shared" si="1"/>
        <v>45901</v>
      </c>
      <c r="M71" s="3">
        <f t="shared" si="2"/>
        <v>46292</v>
      </c>
    </row>
    <row r="72" spans="1:13" x14ac:dyDescent="0.35">
      <c r="A72">
        <v>2072</v>
      </c>
      <c r="B72" s="2" t="s">
        <v>12</v>
      </c>
      <c r="C72" t="s">
        <v>283</v>
      </c>
      <c r="D72" t="s">
        <v>284</v>
      </c>
      <c r="E72">
        <v>1200</v>
      </c>
      <c r="F72" t="s">
        <v>285</v>
      </c>
      <c r="G72">
        <v>6.9385243000000001</v>
      </c>
      <c r="H72">
        <v>79.862985800000004</v>
      </c>
      <c r="I72">
        <v>100073186</v>
      </c>
      <c r="J72" s="1">
        <v>415715</v>
      </c>
      <c r="K72" t="s">
        <v>97</v>
      </c>
      <c r="L72" s="3">
        <f t="shared" si="1"/>
        <v>45901</v>
      </c>
      <c r="M72" s="3">
        <f t="shared" si="2"/>
        <v>46292</v>
      </c>
    </row>
    <row r="73" spans="1:13" x14ac:dyDescent="0.35">
      <c r="A73">
        <v>2149</v>
      </c>
      <c r="B73" t="s">
        <v>286</v>
      </c>
      <c r="C73" t="s">
        <v>287</v>
      </c>
      <c r="D73" t="s">
        <v>288</v>
      </c>
      <c r="E73">
        <v>10150</v>
      </c>
      <c r="F73" t="s">
        <v>289</v>
      </c>
      <c r="G73">
        <v>6.8796799999999996</v>
      </c>
      <c r="H73">
        <v>79.984879399999997</v>
      </c>
      <c r="I73">
        <v>81566478</v>
      </c>
      <c r="J73">
        <v>109585</v>
      </c>
      <c r="K73" t="s">
        <v>116</v>
      </c>
      <c r="L73" s="3">
        <f t="shared" si="1"/>
        <v>45901</v>
      </c>
      <c r="M73" s="3">
        <f t="shared" si="2"/>
        <v>46292</v>
      </c>
    </row>
    <row r="74" spans="1:13" x14ac:dyDescent="0.35">
      <c r="A74">
        <v>2104</v>
      </c>
      <c r="B74" t="s">
        <v>68</v>
      </c>
      <c r="C74" t="s">
        <v>290</v>
      </c>
      <c r="D74" t="s">
        <v>291</v>
      </c>
      <c r="E74">
        <v>10300</v>
      </c>
      <c r="F74" t="s">
        <v>292</v>
      </c>
      <c r="G74">
        <v>6.8006384999999998</v>
      </c>
      <c r="H74">
        <v>79.9200898</v>
      </c>
      <c r="I74">
        <v>67093507</v>
      </c>
      <c r="J74">
        <v>466684</v>
      </c>
      <c r="K74" t="s">
        <v>86</v>
      </c>
      <c r="L74" s="3">
        <f t="shared" si="1"/>
        <v>45901</v>
      </c>
      <c r="M74" s="3">
        <f t="shared" si="2"/>
        <v>46292</v>
      </c>
    </row>
    <row r="75" spans="1:13" x14ac:dyDescent="0.35">
      <c r="A75">
        <v>2150</v>
      </c>
      <c r="B75" t="s">
        <v>293</v>
      </c>
      <c r="C75" t="s">
        <v>294</v>
      </c>
      <c r="D75" t="s">
        <v>295</v>
      </c>
      <c r="E75">
        <v>10230</v>
      </c>
      <c r="F75" t="s">
        <v>296</v>
      </c>
      <c r="G75">
        <v>6.8393620000000004</v>
      </c>
      <c r="H75">
        <v>79.977762100000007</v>
      </c>
      <c r="I75">
        <v>39088802</v>
      </c>
      <c r="J75">
        <v>42366</v>
      </c>
      <c r="K75" t="s">
        <v>86</v>
      </c>
      <c r="L75" s="3">
        <f t="shared" si="1"/>
        <v>45901</v>
      </c>
      <c r="M75" s="3">
        <f t="shared" si="2"/>
        <v>46292</v>
      </c>
    </row>
    <row r="76" spans="1:13" x14ac:dyDescent="0.35">
      <c r="A76">
        <v>2105</v>
      </c>
      <c r="B76" t="s">
        <v>30</v>
      </c>
      <c r="C76" t="s">
        <v>297</v>
      </c>
      <c r="D76" t="s">
        <v>105</v>
      </c>
      <c r="E76">
        <v>12500</v>
      </c>
      <c r="F76" t="s">
        <v>298</v>
      </c>
      <c r="G76">
        <v>6.7464633999999997</v>
      </c>
      <c r="H76">
        <v>79.901560900000007</v>
      </c>
      <c r="I76">
        <v>29990525</v>
      </c>
      <c r="J76">
        <v>178083</v>
      </c>
      <c r="K76" t="s">
        <v>86</v>
      </c>
      <c r="L76" s="3">
        <f t="shared" si="1"/>
        <v>45901</v>
      </c>
      <c r="M76" s="3">
        <f t="shared" si="2"/>
        <v>46292</v>
      </c>
    </row>
    <row r="77" spans="1:13" x14ac:dyDescent="0.35">
      <c r="A77">
        <v>2151</v>
      </c>
      <c r="B77" t="s">
        <v>299</v>
      </c>
      <c r="C77" t="s">
        <v>300</v>
      </c>
      <c r="D77" t="s">
        <v>301</v>
      </c>
      <c r="G77">
        <v>6.8558665000000003</v>
      </c>
      <c r="H77">
        <v>79.890552700000001</v>
      </c>
      <c r="I77">
        <v>9158546</v>
      </c>
      <c r="J77">
        <v>8258</v>
      </c>
      <c r="K77" t="s">
        <v>86</v>
      </c>
      <c r="L77" s="3">
        <f t="shared" si="1"/>
        <v>45901</v>
      </c>
      <c r="M77" s="3">
        <f t="shared" si="2"/>
        <v>46292</v>
      </c>
    </row>
    <row r="78" spans="1:13" x14ac:dyDescent="0.35">
      <c r="A78">
        <v>2079</v>
      </c>
      <c r="B78" t="s">
        <v>26</v>
      </c>
      <c r="C78" t="s">
        <v>79</v>
      </c>
      <c r="D78" t="s">
        <v>79</v>
      </c>
      <c r="E78">
        <v>0</v>
      </c>
      <c r="F78" t="s">
        <v>302</v>
      </c>
      <c r="G78">
        <v>6.9954109999999998</v>
      </c>
      <c r="H78">
        <v>79.892482900000005</v>
      </c>
      <c r="I78">
        <v>8799086</v>
      </c>
      <c r="J78">
        <v>0</v>
      </c>
      <c r="K78" t="s">
        <v>97</v>
      </c>
      <c r="L78" s="3">
        <f t="shared" si="1"/>
        <v>45901</v>
      </c>
      <c r="M78" s="3">
        <f t="shared" si="2"/>
        <v>46292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2026-03-12T06:45:41Z</dcterms:created>
  <dcterms:modified xsi:type="dcterms:W3CDTF">2026-09-28T16:08:40Z</dcterms:modified>
</cp:coreProperties>
</file>